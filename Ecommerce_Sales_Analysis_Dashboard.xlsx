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13_ncr:2001_{CE7A9578-5A96-46BC-8C42-829E0E28B084}" xr6:coauthVersionLast="47" xr6:coauthVersionMax="47" xr10:uidLastSave="{00000000-0000-0000-0000-000000000000}"/>
  <bookViews>
    <workbookView xWindow="-110" yWindow="-110" windowWidth="19420" windowHeight="10300" firstSheet="3" activeTab="6" xr2:uid="{4114566A-CC44-4A76-BA30-3F081FD0E1AD}"/>
  </bookViews>
  <sheets>
    <sheet name="Pivot_Analysis" sheetId="3" r:id="rId1"/>
    <sheet name="Sheet3" sheetId="4" r:id="rId2"/>
    <sheet name="Sheet4" sheetId="5" r:id="rId3"/>
    <sheet name="Sheet5" sheetId="6" r:id="rId4"/>
    <sheet name="Sheet6" sheetId="7" r:id="rId5"/>
    <sheet name="ecommerce_sales_analysis" sheetId="1" r:id="rId6"/>
    <sheet name="Dashboard" sheetId="2" r:id="rId7"/>
  </sheets>
  <definedNames>
    <definedName name="Slicer_category">#N/A</definedName>
    <definedName name="Slicer_city">#N/A</definedName>
    <definedName name="Slicer_payment_method">#N/A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 i="1" l="1"/>
  <c r="P9" i="1"/>
  <c r="M2" i="1"/>
  <c r="M3" i="1"/>
  <c r="M4" i="1"/>
  <c r="M5" i="1"/>
  <c r="M6" i="1"/>
  <c r="M7" i="1"/>
  <c r="M8" i="1"/>
  <c r="M9" i="1"/>
  <c r="M10" i="1"/>
  <c r="M11" i="1"/>
  <c r="M12" i="1"/>
  <c r="M13" i="1"/>
  <c r="M14" i="1"/>
  <c r="M15" i="1"/>
  <c r="M16" i="1"/>
  <c r="L2" i="1"/>
  <c r="P13" i="1" s="1"/>
  <c r="L3" i="1"/>
  <c r="L4" i="1"/>
  <c r="L5" i="1"/>
  <c r="L6" i="1"/>
  <c r="L7" i="1"/>
  <c r="L8" i="1"/>
  <c r="L9" i="1"/>
  <c r="L10" i="1"/>
  <c r="L11" i="1"/>
  <c r="L12" i="1"/>
  <c r="L13" i="1"/>
  <c r="L14" i="1"/>
  <c r="L15" i="1"/>
  <c r="L16" i="1"/>
  <c r="P7" i="1" l="1"/>
</calcChain>
</file>

<file path=xl/sharedStrings.xml><?xml version="1.0" encoding="utf-8"?>
<sst xmlns="http://schemas.openxmlformats.org/spreadsheetml/2006/main" count="139" uniqueCount="72">
  <si>
    <t>order_id</t>
  </si>
  <si>
    <t>customer_id</t>
  </si>
  <si>
    <t>customer_name</t>
  </si>
  <si>
    <t>product_name</t>
  </si>
  <si>
    <t>category</t>
  </si>
  <si>
    <t>price</t>
  </si>
  <si>
    <t>quantity</t>
  </si>
  <si>
    <t>discount_percent</t>
  </si>
  <si>
    <t>order_date</t>
  </si>
  <si>
    <t>city</t>
  </si>
  <si>
    <t>payment_method</t>
  </si>
  <si>
    <t>Elon Musk</t>
  </si>
  <si>
    <t>Laptop</t>
  </si>
  <si>
    <t>Electronic</t>
  </si>
  <si>
    <t>Mumbai</t>
  </si>
  <si>
    <t>Card</t>
  </si>
  <si>
    <t>Jeff Bezos</t>
  </si>
  <si>
    <t>Iron</t>
  </si>
  <si>
    <t>Delhi</t>
  </si>
  <si>
    <t>UPI</t>
  </si>
  <si>
    <t>Warren Buffett</t>
  </si>
  <si>
    <t>Milk</t>
  </si>
  <si>
    <t>Grocery</t>
  </si>
  <si>
    <t>Ahmedabad</t>
  </si>
  <si>
    <t>Cash</t>
  </si>
  <si>
    <t>Mukesh Ambani</t>
  </si>
  <si>
    <t>Ring</t>
  </si>
  <si>
    <t>Accessory</t>
  </si>
  <si>
    <t>Surat</t>
  </si>
  <si>
    <t>Mark Zuckerberg</t>
  </si>
  <si>
    <t>Trimmer</t>
  </si>
  <si>
    <t>Essentials</t>
  </si>
  <si>
    <t>Chennai</t>
  </si>
  <si>
    <t>Neeta Ambani</t>
  </si>
  <si>
    <t>Chain</t>
  </si>
  <si>
    <t>Pondicherry</t>
  </si>
  <si>
    <t>Rahul Bajaj</t>
  </si>
  <si>
    <t>Butter</t>
  </si>
  <si>
    <t>Telangana</t>
  </si>
  <si>
    <t>Bill Gates</t>
  </si>
  <si>
    <t>Mobile</t>
  </si>
  <si>
    <t>Amritsar</t>
  </si>
  <si>
    <t>Tim Cook</t>
  </si>
  <si>
    <t>Headphones</t>
  </si>
  <si>
    <t>Chandigarh</t>
  </si>
  <si>
    <t>Gautam Adani</t>
  </si>
  <si>
    <t>Vegetables</t>
  </si>
  <si>
    <t>Pune</t>
  </si>
  <si>
    <t>Soap</t>
  </si>
  <si>
    <t>Cheese</t>
  </si>
  <si>
    <t>Oven</t>
  </si>
  <si>
    <t>Chicken</t>
  </si>
  <si>
    <t>Shampoo</t>
  </si>
  <si>
    <t>total_revenue</t>
  </si>
  <si>
    <t>discounted_price</t>
  </si>
  <si>
    <t>Row Labels</t>
  </si>
  <si>
    <t>Grand Total</t>
  </si>
  <si>
    <t>Sum of total_revenue</t>
  </si>
  <si>
    <t>Jan</t>
  </si>
  <si>
    <t>Feb</t>
  </si>
  <si>
    <t>Mar</t>
  </si>
  <si>
    <t>Apr</t>
  </si>
  <si>
    <t>May</t>
  </si>
  <si>
    <t>Jun</t>
  </si>
  <si>
    <t>Aug</t>
  </si>
  <si>
    <t>Count of order_id</t>
  </si>
  <si>
    <t>Sum of quantity</t>
  </si>
  <si>
    <t>E-Commerce Sales Analysis Dashboard</t>
  </si>
  <si>
    <r>
      <t>TOTAL REVENUE</t>
    </r>
    <r>
      <rPr>
        <b/>
        <sz val="18"/>
        <color theme="1"/>
        <rFont val="Calibri"/>
        <family val="2"/>
        <scheme val="minor"/>
      </rPr>
      <t xml:space="preserve"> 599550</t>
    </r>
  </si>
  <si>
    <r>
      <t xml:space="preserve">TOTAL ORDERS </t>
    </r>
    <r>
      <rPr>
        <b/>
        <sz val="18"/>
        <color theme="1"/>
        <rFont val="Calibri"/>
        <family val="2"/>
        <scheme val="minor"/>
      </rPr>
      <t>15</t>
    </r>
  </si>
  <si>
    <r>
      <t xml:space="preserve">ITEMS SOLD </t>
    </r>
    <r>
      <rPr>
        <b/>
        <sz val="18"/>
        <color theme="1"/>
        <rFont val="Calibri"/>
        <family val="2"/>
        <scheme val="minor"/>
      </rPr>
      <t>27</t>
    </r>
  </si>
  <si>
    <r>
      <t xml:space="preserve">AVERAGE ORDER VALUE </t>
    </r>
    <r>
      <rPr>
        <b/>
        <sz val="18"/>
        <color theme="1"/>
        <rFont val="Calibri"/>
        <family val="2"/>
        <scheme val="minor"/>
      </rPr>
      <t>39970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</si>
</sst>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2"/>
      <color theme="1"/>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19" fillId="0" borderId="11" xfId="0" applyFont="1" applyBorder="1" applyAlignment="1">
      <alignment horizontal="center" vertical="center"/>
    </xf>
    <xf numFmtId="0" fontId="18" fillId="33" borderId="10" xfId="0"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Pivot_Analysis!$A$4:$A$8</c:f>
              <c:strCache>
                <c:ptCount val="4"/>
                <c:pt idx="0">
                  <c:v>Accessory</c:v>
                </c:pt>
                <c:pt idx="1">
                  <c:v>Electronic</c:v>
                </c:pt>
                <c:pt idx="2">
                  <c:v>Essentials</c:v>
                </c:pt>
                <c:pt idx="3">
                  <c:v>Grocery</c:v>
                </c:pt>
              </c:strCache>
            </c:strRef>
          </c:cat>
          <c:val>
            <c:numRef>
              <c:f>Pivot_Analysis!$B$4:$B$8</c:f>
              <c:numCache>
                <c:formatCode>General</c:formatCode>
                <c:ptCount val="4"/>
                <c:pt idx="0">
                  <c:v>105000</c:v>
                </c:pt>
                <c:pt idx="1">
                  <c:v>490000</c:v>
                </c:pt>
                <c:pt idx="2">
                  <c:v>1700</c:v>
                </c:pt>
                <c:pt idx="3">
                  <c:v>2850</c:v>
                </c:pt>
              </c:numCache>
            </c:numRef>
          </c:val>
          <c:extLst>
            <c:ext xmlns:c16="http://schemas.microsoft.com/office/drawing/2014/chart" uri="{C3380CC4-5D6E-409C-BE32-E72D297353CC}">
              <c16:uniqueId val="{00000000-BCAD-4E7E-82F4-2E43EA5188A2}"/>
            </c:ext>
          </c:extLst>
        </c:ser>
        <c:dLbls>
          <c:showLegendKey val="0"/>
          <c:showVal val="1"/>
          <c:showCatName val="0"/>
          <c:showSerName val="0"/>
          <c:showPercent val="0"/>
          <c:showBubbleSize val="0"/>
        </c:dLbls>
        <c:gapWidth val="219"/>
        <c:overlap val="-27"/>
        <c:axId val="2099513232"/>
        <c:axId val="2044797904"/>
      </c:barChart>
      <c:catAx>
        <c:axId val="209951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97904"/>
        <c:crosses val="autoZero"/>
        <c:auto val="1"/>
        <c:lblAlgn val="ctr"/>
        <c:lblOffset val="100"/>
        <c:noMultiLvlLbl val="0"/>
      </c:catAx>
      <c:valAx>
        <c:axId val="204479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51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Jan</c:v>
                </c:pt>
                <c:pt idx="1">
                  <c:v>Feb</c:v>
                </c:pt>
                <c:pt idx="2">
                  <c:v>Mar</c:v>
                </c:pt>
                <c:pt idx="3">
                  <c:v>Apr</c:v>
                </c:pt>
                <c:pt idx="4">
                  <c:v>May</c:v>
                </c:pt>
                <c:pt idx="5">
                  <c:v>Jun</c:v>
                </c:pt>
                <c:pt idx="6">
                  <c:v>Aug</c:v>
                </c:pt>
              </c:strCache>
            </c:strRef>
          </c:cat>
          <c:val>
            <c:numRef>
              <c:f>Sheet3!$B$4:$B$11</c:f>
              <c:numCache>
                <c:formatCode>General</c:formatCode>
                <c:ptCount val="7"/>
                <c:pt idx="0">
                  <c:v>91600</c:v>
                </c:pt>
                <c:pt idx="1">
                  <c:v>235680</c:v>
                </c:pt>
                <c:pt idx="2">
                  <c:v>1500</c:v>
                </c:pt>
                <c:pt idx="3">
                  <c:v>135000</c:v>
                </c:pt>
                <c:pt idx="4">
                  <c:v>740</c:v>
                </c:pt>
                <c:pt idx="5">
                  <c:v>135000</c:v>
                </c:pt>
                <c:pt idx="6">
                  <c:v>30</c:v>
                </c:pt>
              </c:numCache>
            </c:numRef>
          </c:val>
          <c:extLst>
            <c:ext xmlns:c16="http://schemas.microsoft.com/office/drawing/2014/chart" uri="{C3380CC4-5D6E-409C-BE32-E72D297353CC}">
              <c16:uniqueId val="{00000000-DB55-4691-831C-29A8FC2A1089}"/>
            </c:ext>
          </c:extLst>
        </c:ser>
        <c:dLbls>
          <c:showLegendKey val="0"/>
          <c:showVal val="1"/>
          <c:showCatName val="0"/>
          <c:showSerName val="0"/>
          <c:showPercent val="0"/>
          <c:showBubbleSize val="0"/>
        </c:dLbls>
        <c:gapWidth val="219"/>
        <c:overlap val="-27"/>
        <c:axId val="2099512304"/>
        <c:axId val="2044803664"/>
      </c:barChart>
      <c:catAx>
        <c:axId val="20995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803664"/>
        <c:crosses val="autoZero"/>
        <c:auto val="1"/>
        <c:lblAlgn val="ctr"/>
        <c:lblOffset val="100"/>
        <c:noMultiLvlLbl val="0"/>
      </c:catAx>
      <c:valAx>
        <c:axId val="20448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51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Ahmedabad</c:v>
                </c:pt>
                <c:pt idx="1">
                  <c:v>Amritsar</c:v>
                </c:pt>
                <c:pt idx="2">
                  <c:v>Chandigarh</c:v>
                </c:pt>
                <c:pt idx="3">
                  <c:v>Chennai</c:v>
                </c:pt>
                <c:pt idx="4">
                  <c:v>Delhi</c:v>
                </c:pt>
                <c:pt idx="5">
                  <c:v>Mumbai</c:v>
                </c:pt>
                <c:pt idx="6">
                  <c:v>Pondicherry</c:v>
                </c:pt>
                <c:pt idx="7">
                  <c:v>Pune</c:v>
                </c:pt>
                <c:pt idx="8">
                  <c:v>Surat</c:v>
                </c:pt>
                <c:pt idx="9">
                  <c:v>Telangana</c:v>
                </c:pt>
              </c:strCache>
            </c:strRef>
          </c:cat>
          <c:val>
            <c:numRef>
              <c:f>Sheet4!$B$4:$B$14</c:f>
              <c:numCache>
                <c:formatCode>General</c:formatCode>
                <c:ptCount val="10"/>
                <c:pt idx="0">
                  <c:v>30</c:v>
                </c:pt>
                <c:pt idx="1">
                  <c:v>166800</c:v>
                </c:pt>
                <c:pt idx="2">
                  <c:v>225000</c:v>
                </c:pt>
                <c:pt idx="3">
                  <c:v>1000</c:v>
                </c:pt>
                <c:pt idx="4">
                  <c:v>10000</c:v>
                </c:pt>
                <c:pt idx="5">
                  <c:v>90980</c:v>
                </c:pt>
                <c:pt idx="6">
                  <c:v>100000</c:v>
                </c:pt>
                <c:pt idx="7">
                  <c:v>200</c:v>
                </c:pt>
                <c:pt idx="8">
                  <c:v>5000</c:v>
                </c:pt>
                <c:pt idx="9">
                  <c:v>540</c:v>
                </c:pt>
              </c:numCache>
            </c:numRef>
          </c:val>
          <c:extLst>
            <c:ext xmlns:c16="http://schemas.microsoft.com/office/drawing/2014/chart" uri="{C3380CC4-5D6E-409C-BE32-E72D297353CC}">
              <c16:uniqueId val="{00000000-6A3D-4FA6-971A-DF0B446FD843}"/>
            </c:ext>
          </c:extLst>
        </c:ser>
        <c:dLbls>
          <c:showLegendKey val="0"/>
          <c:showVal val="1"/>
          <c:showCatName val="0"/>
          <c:showSerName val="0"/>
          <c:showPercent val="0"/>
          <c:showBubbleSize val="0"/>
        </c:dLbls>
        <c:gapWidth val="219"/>
        <c:overlap val="-27"/>
        <c:axId val="2104480288"/>
        <c:axId val="1970749936"/>
      </c:barChart>
      <c:catAx>
        <c:axId val="210448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49936"/>
        <c:crosses val="autoZero"/>
        <c:auto val="1"/>
        <c:lblAlgn val="ctr"/>
        <c:lblOffset val="100"/>
        <c:noMultiLvlLbl val="0"/>
      </c:catAx>
      <c:valAx>
        <c:axId val="197074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8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D9-43C6-B055-0BBF7657B1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D9-43C6-B055-0BBF7657B1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D9-43C6-B055-0BBF7657B1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Card</c:v>
                </c:pt>
                <c:pt idx="1">
                  <c:v>Cash</c:v>
                </c:pt>
                <c:pt idx="2">
                  <c:v>UPI</c:v>
                </c:pt>
              </c:strCache>
            </c:strRef>
          </c:cat>
          <c:val>
            <c:numRef>
              <c:f>Sheet5!$B$4:$B$7</c:f>
              <c:numCache>
                <c:formatCode>General</c:formatCode>
                <c:ptCount val="3"/>
                <c:pt idx="0">
                  <c:v>6</c:v>
                </c:pt>
                <c:pt idx="1">
                  <c:v>5</c:v>
                </c:pt>
                <c:pt idx="2">
                  <c:v>4</c:v>
                </c:pt>
              </c:numCache>
            </c:numRef>
          </c:val>
          <c:extLst>
            <c:ext xmlns:c16="http://schemas.microsoft.com/office/drawing/2014/chart" uri="{C3380CC4-5D6E-409C-BE32-E72D297353CC}">
              <c16:uniqueId val="{00000006-2FD9-43C6-B055-0BBF7657B16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[Ecommerce_Sales_Analysis_Dashboard.xlsx]Sheet6!PivotTable6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Cheese</c:v>
                </c:pt>
                <c:pt idx="1">
                  <c:v>Butter</c:v>
                </c:pt>
                <c:pt idx="2">
                  <c:v>Mobile</c:v>
                </c:pt>
                <c:pt idx="3">
                  <c:v>Headphones</c:v>
                </c:pt>
                <c:pt idx="4">
                  <c:v>Chain</c:v>
                </c:pt>
                <c:pt idx="5">
                  <c:v>Soap</c:v>
                </c:pt>
                <c:pt idx="6">
                  <c:v>Shampoo</c:v>
                </c:pt>
              </c:strCache>
            </c:strRef>
          </c:cat>
          <c:val>
            <c:numRef>
              <c:f>Sheet6!$B$4:$B$11</c:f>
              <c:numCache>
                <c:formatCode>General</c:formatCode>
                <c:ptCount val="7"/>
                <c:pt idx="0">
                  <c:v>4</c:v>
                </c:pt>
                <c:pt idx="1">
                  <c:v>3</c:v>
                </c:pt>
                <c:pt idx="2">
                  <c:v>3</c:v>
                </c:pt>
                <c:pt idx="3">
                  <c:v>3</c:v>
                </c:pt>
                <c:pt idx="4">
                  <c:v>2</c:v>
                </c:pt>
                <c:pt idx="5">
                  <c:v>2</c:v>
                </c:pt>
                <c:pt idx="6">
                  <c:v>2</c:v>
                </c:pt>
              </c:numCache>
            </c:numRef>
          </c:val>
          <c:extLst>
            <c:ext xmlns:c16="http://schemas.microsoft.com/office/drawing/2014/chart" uri="{C3380CC4-5D6E-409C-BE32-E72D297353CC}">
              <c16:uniqueId val="{00000000-3AE2-4727-A06F-9EEF570DD10D}"/>
            </c:ext>
          </c:extLst>
        </c:ser>
        <c:dLbls>
          <c:showLegendKey val="0"/>
          <c:showVal val="1"/>
          <c:showCatName val="0"/>
          <c:showSerName val="0"/>
          <c:showPercent val="0"/>
          <c:showBubbleSize val="0"/>
        </c:dLbls>
        <c:gapWidth val="219"/>
        <c:overlap val="-27"/>
        <c:axId val="110472576"/>
        <c:axId val="2044812304"/>
      </c:barChart>
      <c:catAx>
        <c:axId val="11047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812304"/>
        <c:crosses val="autoZero"/>
        <c:auto val="1"/>
        <c:lblAlgn val="ctr"/>
        <c:lblOffset val="100"/>
        <c:noMultiLvlLbl val="0"/>
      </c:catAx>
      <c:valAx>
        <c:axId val="204481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7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155751</xdr:rowOff>
    </xdr:from>
    <xdr:to>
      <xdr:col>6</xdr:col>
      <xdr:colOff>0</xdr:colOff>
      <xdr:row>23</xdr:row>
      <xdr:rowOff>131703</xdr:rowOff>
    </xdr:to>
    <xdr:graphicFrame macro="">
      <xdr:nvGraphicFramePr>
        <xdr:cNvPr id="2" name="Chart 1">
          <a:extLst>
            <a:ext uri="{FF2B5EF4-FFF2-40B4-BE49-F238E27FC236}">
              <a16:creationId xmlns:a16="http://schemas.microsoft.com/office/drawing/2014/main" id="{C1E1B7FB-F5E1-4638-B2A6-5F8ABB58B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15374</xdr:colOff>
      <xdr:row>8</xdr:row>
      <xdr:rowOff>162129</xdr:rowOff>
    </xdr:from>
    <xdr:to>
      <xdr:col>12</xdr:col>
      <xdr:colOff>14876</xdr:colOff>
      <xdr:row>23</xdr:row>
      <xdr:rowOff>137574</xdr:rowOff>
    </xdr:to>
    <xdr:graphicFrame macro="">
      <xdr:nvGraphicFramePr>
        <xdr:cNvPr id="3" name="Chart 2">
          <a:extLst>
            <a:ext uri="{FF2B5EF4-FFF2-40B4-BE49-F238E27FC236}">
              <a16:creationId xmlns:a16="http://schemas.microsoft.com/office/drawing/2014/main" id="{EAC2D966-49E6-416C-9745-84625A3F4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160438</xdr:rowOff>
    </xdr:from>
    <xdr:to>
      <xdr:col>6</xdr:col>
      <xdr:colOff>0</xdr:colOff>
      <xdr:row>38</xdr:row>
      <xdr:rowOff>135884</xdr:rowOff>
    </xdr:to>
    <xdr:graphicFrame macro="">
      <xdr:nvGraphicFramePr>
        <xdr:cNvPr id="4" name="Chart 3">
          <a:extLst>
            <a:ext uri="{FF2B5EF4-FFF2-40B4-BE49-F238E27FC236}">
              <a16:creationId xmlns:a16="http://schemas.microsoft.com/office/drawing/2014/main" id="{4017320A-8054-4924-B06B-780C3DA01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5576</xdr:colOff>
      <xdr:row>23</xdr:row>
      <xdr:rowOff>121594</xdr:rowOff>
    </xdr:from>
    <xdr:to>
      <xdr:col>12</xdr:col>
      <xdr:colOff>5078</xdr:colOff>
      <xdr:row>38</xdr:row>
      <xdr:rowOff>97040</xdr:rowOff>
    </xdr:to>
    <xdr:graphicFrame macro="">
      <xdr:nvGraphicFramePr>
        <xdr:cNvPr id="5" name="Chart 4">
          <a:extLst>
            <a:ext uri="{FF2B5EF4-FFF2-40B4-BE49-F238E27FC236}">
              <a16:creationId xmlns:a16="http://schemas.microsoft.com/office/drawing/2014/main" id="{BEBDB60A-998F-454A-885E-87A7E3B65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94360</xdr:rowOff>
    </xdr:from>
    <xdr:to>
      <xdr:col>11</xdr:col>
      <xdr:colOff>1089287</xdr:colOff>
      <xdr:row>53</xdr:row>
      <xdr:rowOff>108086</xdr:rowOff>
    </xdr:to>
    <xdr:graphicFrame macro="">
      <xdr:nvGraphicFramePr>
        <xdr:cNvPr id="6" name="Chart 5">
          <a:extLst>
            <a:ext uri="{FF2B5EF4-FFF2-40B4-BE49-F238E27FC236}">
              <a16:creationId xmlns:a16="http://schemas.microsoft.com/office/drawing/2014/main" id="{67FD499A-4C99-4AD3-82E4-DC9AB0D79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1080433</xdr:colOff>
      <xdr:row>11</xdr:row>
      <xdr:rowOff>802</xdr:rowOff>
    </xdr:from>
    <xdr:to>
      <xdr:col>15</xdr:col>
      <xdr:colOff>5220</xdr:colOff>
      <xdr:row>27</xdr:row>
      <xdr:rowOff>8552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773A8F0-9862-2547-A49C-FC531DF9EF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161433" y="1979885"/>
              <a:ext cx="2195037" cy="2886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610</xdr:colOff>
      <xdr:row>11</xdr:row>
      <xdr:rowOff>1620</xdr:rowOff>
    </xdr:from>
    <xdr:to>
      <xdr:col>17</xdr:col>
      <xdr:colOff>15802</xdr:colOff>
      <xdr:row>27</xdr:row>
      <xdr:rowOff>9370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16ACFAAD-ADBA-25A3-4E41-F559B6A1A50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351860" y="1980703"/>
              <a:ext cx="2195359" cy="2886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19985</xdr:colOff>
      <xdr:row>11</xdr:row>
      <xdr:rowOff>1428</xdr:rowOff>
    </xdr:from>
    <xdr:to>
      <xdr:col>19</xdr:col>
      <xdr:colOff>35177</xdr:colOff>
      <xdr:row>27</xdr:row>
      <xdr:rowOff>9178</xdr:rowOff>
    </xdr:to>
    <mc:AlternateContent xmlns:mc="http://schemas.openxmlformats.org/markup-compatibility/2006">
      <mc:Choice xmlns:a14="http://schemas.microsoft.com/office/drawing/2010/main" Requires="a14">
        <xdr:graphicFrame macro="">
          <xdr:nvGraphicFramePr>
            <xdr:cNvPr id="9" name="payment_method">
              <a:extLst>
                <a:ext uri="{FF2B5EF4-FFF2-40B4-BE49-F238E27FC236}">
                  <a16:creationId xmlns:a16="http://schemas.microsoft.com/office/drawing/2014/main" id="{C62EFF40-1852-6D42-7C4A-91E83C6513F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8551402" y="1980511"/>
              <a:ext cx="2195358" cy="2886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60.702849884263" createdVersion="8" refreshedVersion="8" minRefreshableVersion="3" recordCount="15" xr:uid="{DB6C5E69-394B-426A-857C-A7FAC85F976A}">
  <cacheSource type="worksheet">
    <worksheetSource ref="A1:M16" sheet="ecommerce_sales_analysis"/>
  </cacheSource>
  <cacheFields count="15">
    <cacheField name="order_id" numFmtId="0">
      <sharedItems containsSemiMixedTypes="0" containsString="0" containsNumber="1" containsInteger="1" minValue="1" maxValue="23"/>
    </cacheField>
    <cacheField name="customer_id" numFmtId="0">
      <sharedItems containsSemiMixedTypes="0" containsString="0" containsNumber="1" containsInteger="1" minValue="6" maxValue="15"/>
    </cacheField>
    <cacheField name="customer_name" numFmtId="0">
      <sharedItems/>
    </cacheField>
    <cacheField name="product_name" numFmtId="0">
      <sharedItems count="15">
        <s v="Laptop"/>
        <s v="Iron"/>
        <s v="Milk"/>
        <s v="Ring"/>
        <s v="Trimmer"/>
        <s v="Chain"/>
        <s v="Butter"/>
        <s v="Mobile"/>
        <s v="Headphones"/>
        <s v="Vegetables"/>
        <s v="Soap"/>
        <s v="Cheese"/>
        <s v="Oven"/>
        <s v="Chicken"/>
        <s v="Shampoo"/>
      </sharedItems>
    </cacheField>
    <cacheField name="category" numFmtId="0">
      <sharedItems count="4">
        <s v="Electronic"/>
        <s v="Grocery"/>
        <s v="Accessory"/>
        <s v="Essentials"/>
      </sharedItems>
    </cacheField>
    <cacheField name="price" numFmtId="0">
      <sharedItems containsSemiMixedTypes="0" containsString="0" containsNumber="1" containsInteger="1" minValue="30" maxValue="90000"/>
    </cacheField>
    <cacheField name="quantity" numFmtId="0">
      <sharedItems containsSemiMixedTypes="0" containsString="0" containsNumber="1" containsInteger="1" minValue="1" maxValue="4"/>
    </cacheField>
    <cacheField name="discount_percent" numFmtId="0">
      <sharedItems containsSemiMixedTypes="0" containsString="0" containsNumber="1" containsInteger="1" minValue="0" maxValue="25"/>
    </cacheField>
    <cacheField name="order_date" numFmtId="14">
      <sharedItems containsSemiMixedTypes="0" containsNonDate="0" containsDate="1" containsString="0" minDate="2026-01-05T00:00:00" maxDate="2026-08-21T00:00:00" count="14">
        <d v="2026-01-05T00:00:00"/>
        <d v="2026-02-15T00:00:00"/>
        <d v="2026-08-20T00:00:00"/>
        <d v="2026-04-10T00:00:00"/>
        <d v="2026-03-02T00:00:00"/>
        <d v="2026-04-13T00:00:00"/>
        <d v="2026-05-12T00:00:00"/>
        <d v="2026-06-17T00:00:00"/>
        <d v="2026-02-11T00:00:00"/>
        <d v="2026-05-18T00:00:00"/>
        <d v="2026-01-18T00:00:00"/>
        <d v="2026-04-19T00:00:00"/>
        <d v="2026-02-25T00:00:00"/>
        <d v="2026-03-09T00:00:00"/>
      </sharedItems>
      <fieldGroup par="14"/>
    </cacheField>
    <cacheField name="city" numFmtId="0">
      <sharedItems count="10">
        <s v="Mumbai"/>
        <s v="Delhi"/>
        <s v="Ahmedabad"/>
        <s v="Surat"/>
        <s v="Chennai"/>
        <s v="Pondicherry"/>
        <s v="Telangana"/>
        <s v="Amritsar"/>
        <s v="Chandigarh"/>
        <s v="Pune"/>
      </sharedItems>
    </cacheField>
    <cacheField name="payment_method" numFmtId="0">
      <sharedItems count="3">
        <s v="Card"/>
        <s v="UPI"/>
        <s v="Cash"/>
      </sharedItems>
    </cacheField>
    <cacheField name="total_revenue" numFmtId="0">
      <sharedItems containsSemiMixedTypes="0" containsString="0" containsNumber="1" containsInteger="1" minValue="30" maxValue="225000"/>
    </cacheField>
    <cacheField name="discounted_price" numFmtId="0">
      <sharedItems containsSemiMixedTypes="0" containsString="0" containsNumber="1" containsInteger="1" minValue="30" maxValue="180000"/>
    </cacheField>
    <cacheField name="Days (order_date)" numFmtId="0" databaseField="0">
      <fieldGroup base="8">
        <rangePr groupBy="days" startDate="2026-01-05T00:00:00" endDate="2026-08-2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8-2026"/>
        </groupItems>
      </fieldGroup>
    </cacheField>
    <cacheField name="Months (order_date)" numFmtId="0" databaseField="0">
      <fieldGroup base="8">
        <rangePr groupBy="months" startDate="2026-01-05T00:00:00" endDate="2026-08-21T00:00:00"/>
        <groupItems count="14">
          <s v="&lt;05-01-2026"/>
          <s v="Jan"/>
          <s v="Feb"/>
          <s v="Mar"/>
          <s v="Apr"/>
          <s v="May"/>
          <s v="Jun"/>
          <s v="Jul"/>
          <s v="Aug"/>
          <s v="Sep"/>
          <s v="Oct"/>
          <s v="Nov"/>
          <s v="Dec"/>
          <s v="&gt;21-08-2026"/>
        </groupItems>
      </fieldGroup>
    </cacheField>
  </cacheFields>
  <extLst>
    <ext xmlns:x14="http://schemas.microsoft.com/office/spreadsheetml/2009/9/main" uri="{725AE2AE-9491-48be-B2B4-4EB974FC3084}">
      <x14:pivotCacheDefinition pivotCacheId="1519668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n v="10"/>
    <s v="Elon Musk"/>
    <x v="0"/>
    <x v="0"/>
    <n v="90000"/>
    <n v="1"/>
    <n v="10"/>
    <x v="0"/>
    <x v="0"/>
    <x v="0"/>
    <n v="90000"/>
    <n v="81000"/>
  </r>
  <r>
    <n v="2"/>
    <n v="9"/>
    <s v="Jeff Bezos"/>
    <x v="1"/>
    <x v="0"/>
    <n v="10000"/>
    <n v="1"/>
    <n v="15"/>
    <x v="1"/>
    <x v="1"/>
    <x v="1"/>
    <n v="10000"/>
    <n v="8500"/>
  </r>
  <r>
    <n v="3"/>
    <n v="8"/>
    <s v="Warren Buffett"/>
    <x v="2"/>
    <x v="1"/>
    <n v="30"/>
    <n v="1"/>
    <n v="0"/>
    <x v="2"/>
    <x v="2"/>
    <x v="2"/>
    <n v="30"/>
    <n v="30"/>
  </r>
  <r>
    <n v="4"/>
    <n v="7"/>
    <s v="Mukesh Ambani"/>
    <x v="3"/>
    <x v="2"/>
    <n v="5000"/>
    <n v="1"/>
    <n v="5"/>
    <x v="3"/>
    <x v="3"/>
    <x v="0"/>
    <n v="5000"/>
    <n v="4750"/>
  </r>
  <r>
    <n v="5"/>
    <n v="6"/>
    <s v="Mark Zuckerberg"/>
    <x v="4"/>
    <x v="3"/>
    <n v="1000"/>
    <n v="1"/>
    <n v="0"/>
    <x v="4"/>
    <x v="4"/>
    <x v="1"/>
    <n v="1000"/>
    <n v="1000"/>
  </r>
  <r>
    <n v="10"/>
    <n v="15"/>
    <s v="Neeta Ambani"/>
    <x v="5"/>
    <x v="2"/>
    <n v="50000"/>
    <n v="2"/>
    <n v="25"/>
    <x v="5"/>
    <x v="5"/>
    <x v="0"/>
    <n v="100000"/>
    <n v="75000"/>
  </r>
  <r>
    <n v="11"/>
    <n v="13"/>
    <s v="Rahul Bajaj"/>
    <x v="6"/>
    <x v="1"/>
    <n v="180"/>
    <n v="3"/>
    <n v="0"/>
    <x v="6"/>
    <x v="6"/>
    <x v="2"/>
    <n v="540"/>
    <n v="540"/>
  </r>
  <r>
    <n v="12"/>
    <n v="14"/>
    <s v="Bill Gates"/>
    <x v="7"/>
    <x v="0"/>
    <n v="45000"/>
    <n v="3"/>
    <n v="15"/>
    <x v="7"/>
    <x v="7"/>
    <x v="0"/>
    <n v="135000"/>
    <n v="114750"/>
  </r>
  <r>
    <n v="13"/>
    <n v="11"/>
    <s v="Tim Cook"/>
    <x v="8"/>
    <x v="0"/>
    <n v="75000"/>
    <n v="3"/>
    <n v="20"/>
    <x v="8"/>
    <x v="8"/>
    <x v="0"/>
    <n v="225000"/>
    <n v="180000"/>
  </r>
  <r>
    <n v="15"/>
    <n v="12"/>
    <s v="Gautam Adani"/>
    <x v="9"/>
    <x v="1"/>
    <n v="200"/>
    <n v="1"/>
    <n v="8"/>
    <x v="9"/>
    <x v="9"/>
    <x v="2"/>
    <n v="200"/>
    <n v="184"/>
  </r>
  <r>
    <n v="16"/>
    <n v="14"/>
    <s v="Bill Gates"/>
    <x v="10"/>
    <x v="3"/>
    <n v="100"/>
    <n v="2"/>
    <n v="0"/>
    <x v="1"/>
    <x v="7"/>
    <x v="1"/>
    <n v="200"/>
    <n v="200"/>
  </r>
  <r>
    <n v="17"/>
    <n v="14"/>
    <s v="Bill Gates"/>
    <x v="11"/>
    <x v="1"/>
    <n v="400"/>
    <n v="4"/>
    <n v="5"/>
    <x v="10"/>
    <x v="7"/>
    <x v="2"/>
    <n v="1600"/>
    <n v="1520"/>
  </r>
  <r>
    <n v="18"/>
    <n v="14"/>
    <s v="Bill Gates"/>
    <x v="12"/>
    <x v="0"/>
    <n v="30000"/>
    <n v="1"/>
    <n v="15"/>
    <x v="11"/>
    <x v="7"/>
    <x v="0"/>
    <n v="30000"/>
    <n v="25500"/>
  </r>
  <r>
    <n v="20"/>
    <n v="10"/>
    <s v="Elon Musk"/>
    <x v="13"/>
    <x v="1"/>
    <n v="480"/>
    <n v="1"/>
    <n v="0"/>
    <x v="12"/>
    <x v="0"/>
    <x v="2"/>
    <n v="480"/>
    <n v="480"/>
  </r>
  <r>
    <n v="23"/>
    <n v="10"/>
    <s v="Elon Musk"/>
    <x v="14"/>
    <x v="3"/>
    <n v="250"/>
    <n v="2"/>
    <n v="5"/>
    <x v="13"/>
    <x v="0"/>
    <x v="1"/>
    <n v="500"/>
    <n v="4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5E7FB7-CDF7-4150-8376-136C8615E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showAll="0"/>
    <pivotField showAll="0"/>
    <pivotField showAll="0"/>
    <pivotField showAll="0"/>
    <pivotField axis="axisRow" showAll="0">
      <items count="5">
        <item x="2"/>
        <item x="0"/>
        <item x="3"/>
        <item x="1"/>
        <item t="default"/>
      </items>
    </pivotField>
    <pivotField showAll="0"/>
    <pivotField showAll="0"/>
    <pivotField showAll="0"/>
    <pivotField numFmtId="14" showAll="0">
      <items count="15">
        <item x="0"/>
        <item x="10"/>
        <item x="8"/>
        <item x="1"/>
        <item x="12"/>
        <item x="4"/>
        <item x="13"/>
        <item x="3"/>
        <item x="5"/>
        <item x="11"/>
        <item x="6"/>
        <item x="9"/>
        <item x="7"/>
        <item x="2"/>
        <item t="default"/>
      </items>
    </pivotField>
    <pivotField showAll="0">
      <items count="11">
        <item x="2"/>
        <item x="7"/>
        <item x="8"/>
        <item x="4"/>
        <item x="1"/>
        <item x="0"/>
        <item x="5"/>
        <item x="9"/>
        <item x="3"/>
        <item x="6"/>
        <item t="default"/>
      </items>
    </pivotField>
    <pivotField showAll="0">
      <items count="4">
        <item x="0"/>
        <item x="2"/>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_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A3F045-20FE-4A9A-AA2B-276504A09C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5">
    <pivotField showAll="0"/>
    <pivotField showAll="0"/>
    <pivotField showAll="0"/>
    <pivotField showAll="0"/>
    <pivotField showAll="0">
      <items count="5">
        <item x="2"/>
        <item x="0"/>
        <item x="3"/>
        <item x="1"/>
        <item t="default"/>
      </items>
    </pivotField>
    <pivotField showAll="0"/>
    <pivotField showAll="0"/>
    <pivotField showAll="0"/>
    <pivotField axis="axisRow" numFmtId="14" showAll="0">
      <items count="15">
        <item x="0"/>
        <item x="10"/>
        <item x="8"/>
        <item x="1"/>
        <item x="12"/>
        <item x="4"/>
        <item x="13"/>
        <item x="3"/>
        <item x="5"/>
        <item x="11"/>
        <item x="6"/>
        <item x="9"/>
        <item x="7"/>
        <item x="2"/>
        <item t="default"/>
      </items>
    </pivotField>
    <pivotField showAll="0">
      <items count="11">
        <item x="2"/>
        <item x="7"/>
        <item x="8"/>
        <item x="4"/>
        <item x="1"/>
        <item x="0"/>
        <item x="5"/>
        <item x="9"/>
        <item x="3"/>
        <item x="6"/>
        <item t="default"/>
      </items>
    </pivotField>
    <pivotField showAll="0">
      <items count="4">
        <item x="0"/>
        <item x="2"/>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8"/>
  </rowFields>
  <rowItems count="8">
    <i>
      <x v="1"/>
    </i>
    <i>
      <x v="2"/>
    </i>
    <i>
      <x v="3"/>
    </i>
    <i>
      <x v="4"/>
    </i>
    <i>
      <x v="5"/>
    </i>
    <i>
      <x v="6"/>
    </i>
    <i>
      <x v="8"/>
    </i>
    <i t="grand">
      <x/>
    </i>
  </rowItems>
  <colItems count="1">
    <i/>
  </colItems>
  <dataFields count="1">
    <dataField name="Sum of total_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BB422-A407-49E0-8DC3-8B45A8C687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5">
    <pivotField showAll="0"/>
    <pivotField showAll="0"/>
    <pivotField showAll="0"/>
    <pivotField showAll="0"/>
    <pivotField showAll="0">
      <items count="5">
        <item x="2"/>
        <item x="0"/>
        <item x="3"/>
        <item x="1"/>
        <item t="default"/>
      </items>
    </pivotField>
    <pivotField showAll="0"/>
    <pivotField showAll="0"/>
    <pivotField showAll="0"/>
    <pivotField numFmtId="14" showAll="0">
      <items count="15">
        <item x="0"/>
        <item x="10"/>
        <item x="8"/>
        <item x="1"/>
        <item x="12"/>
        <item x="4"/>
        <item x="13"/>
        <item x="3"/>
        <item x="5"/>
        <item x="11"/>
        <item x="6"/>
        <item x="9"/>
        <item x="7"/>
        <item x="2"/>
        <item t="default"/>
      </items>
    </pivotField>
    <pivotField axis="axisRow" showAll="0">
      <items count="11">
        <item x="2"/>
        <item x="7"/>
        <item x="8"/>
        <item x="4"/>
        <item x="1"/>
        <item x="0"/>
        <item x="5"/>
        <item x="9"/>
        <item x="3"/>
        <item x="6"/>
        <item t="default"/>
      </items>
    </pivotField>
    <pivotField showAll="0">
      <items count="4">
        <item x="0"/>
        <item x="2"/>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11">
    <i>
      <x/>
    </i>
    <i>
      <x v="1"/>
    </i>
    <i>
      <x v="2"/>
    </i>
    <i>
      <x v="3"/>
    </i>
    <i>
      <x v="4"/>
    </i>
    <i>
      <x v="5"/>
    </i>
    <i>
      <x v="6"/>
    </i>
    <i>
      <x v="7"/>
    </i>
    <i>
      <x v="8"/>
    </i>
    <i>
      <x v="9"/>
    </i>
    <i t="grand">
      <x/>
    </i>
  </rowItems>
  <colItems count="1">
    <i/>
  </colItems>
  <dataFields count="1">
    <dataField name="Sum of total_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995CF-468F-425D-ADCC-828EB10428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dataField="1" showAll="0"/>
    <pivotField showAll="0"/>
    <pivotField showAll="0"/>
    <pivotField showAll="0"/>
    <pivotField showAll="0">
      <items count="5">
        <item x="2"/>
        <item x="0"/>
        <item x="3"/>
        <item x="1"/>
        <item t="default"/>
      </items>
    </pivotField>
    <pivotField showAll="0"/>
    <pivotField showAll="0"/>
    <pivotField showAll="0"/>
    <pivotField numFmtId="14" showAll="0">
      <items count="15">
        <item x="0"/>
        <item x="10"/>
        <item x="8"/>
        <item x="1"/>
        <item x="12"/>
        <item x="4"/>
        <item x="13"/>
        <item x="3"/>
        <item x="5"/>
        <item x="11"/>
        <item x="6"/>
        <item x="9"/>
        <item x="7"/>
        <item x="2"/>
        <item t="default"/>
      </items>
    </pivotField>
    <pivotField showAll="0">
      <items count="11">
        <item x="2"/>
        <item x="7"/>
        <item x="8"/>
        <item x="4"/>
        <item x="1"/>
        <item x="0"/>
        <item x="5"/>
        <item x="9"/>
        <item x="3"/>
        <item x="6"/>
        <item t="default"/>
      </items>
    </pivotField>
    <pivotField axis="axisRow" showAll="0">
      <items count="4">
        <item x="0"/>
        <item x="2"/>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4">
    <i>
      <x/>
    </i>
    <i>
      <x v="1"/>
    </i>
    <i>
      <x v="2"/>
    </i>
    <i t="grand">
      <x/>
    </i>
  </rowItems>
  <colItems count="1">
    <i/>
  </colItems>
  <dataFields count="1">
    <dataField name="Count of order_id" fld="0" subtotal="count" baseField="1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A59381-B5DC-4366-B6FD-24FAAF9673E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5">
    <pivotField showAll="0"/>
    <pivotField showAll="0"/>
    <pivotField showAll="0"/>
    <pivotField axis="axisRow" showAll="0" measureFilter="1" sortType="descending">
      <items count="16">
        <item x="6"/>
        <item x="5"/>
        <item x="11"/>
        <item x="13"/>
        <item x="8"/>
        <item x="1"/>
        <item x="0"/>
        <item x="2"/>
        <item x="7"/>
        <item x="12"/>
        <item x="3"/>
        <item x="14"/>
        <item x="10"/>
        <item x="4"/>
        <item x="9"/>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dataField="1" showAll="0"/>
    <pivotField showAll="0"/>
    <pivotField numFmtId="14" showAll="0">
      <items count="15">
        <item x="0"/>
        <item x="10"/>
        <item x="8"/>
        <item x="1"/>
        <item x="12"/>
        <item x="4"/>
        <item x="13"/>
        <item x="3"/>
        <item x="5"/>
        <item x="11"/>
        <item x="6"/>
        <item x="9"/>
        <item x="7"/>
        <item x="2"/>
        <item t="default"/>
      </items>
    </pivotField>
    <pivotField showAll="0">
      <items count="11">
        <item x="2"/>
        <item x="7"/>
        <item x="8"/>
        <item x="4"/>
        <item x="1"/>
        <item x="0"/>
        <item x="5"/>
        <item x="9"/>
        <item x="3"/>
        <item x="6"/>
        <item t="default"/>
      </items>
    </pivotField>
    <pivotField showAll="0">
      <items count="4">
        <item x="0"/>
        <item x="2"/>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8">
    <i>
      <x v="2"/>
    </i>
    <i>
      <x/>
    </i>
    <i>
      <x v="8"/>
    </i>
    <i>
      <x v="4"/>
    </i>
    <i>
      <x v="1"/>
    </i>
    <i>
      <x v="12"/>
    </i>
    <i>
      <x v="11"/>
    </i>
    <i t="grand">
      <x/>
    </i>
  </rowItems>
  <colItems count="1">
    <i/>
  </colItems>
  <dataFields count="1">
    <dataField name="Sum of quantity"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DE4630-4247-48FD-AB41-6B1F3C708668}" sourceName="category">
  <pivotTables>
    <pivotTable tabId="3" name="PivotTable1"/>
    <pivotTable tabId="4" name="PivotTable2"/>
    <pivotTable tabId="5" name="PivotTable3"/>
    <pivotTable tabId="6" name="PivotTable5"/>
    <pivotTable tabId="7" name="PivotTable6"/>
  </pivotTables>
  <data>
    <tabular pivotCacheId="151966830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A639072-F34B-4532-88F7-492E211142DE}" sourceName="city">
  <pivotTables>
    <pivotTable tabId="4" name="PivotTable2"/>
    <pivotTable tabId="3" name="PivotTable1"/>
    <pivotTable tabId="5" name="PivotTable3"/>
    <pivotTable tabId="6" name="PivotTable5"/>
    <pivotTable tabId="7" name="PivotTable6"/>
  </pivotTables>
  <data>
    <tabular pivotCacheId="1519668302">
      <items count="10">
        <i x="2" s="1"/>
        <i x="7" s="1"/>
        <i x="8" s="1"/>
        <i x="4" s="1"/>
        <i x="1" s="1"/>
        <i x="0" s="1"/>
        <i x="5" s="1"/>
        <i x="9"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E54F3ED-8625-45FE-8817-7F75B378783A}" sourceName="payment_method">
  <pivotTables>
    <pivotTable tabId="6" name="PivotTable5"/>
    <pivotTable tabId="3" name="PivotTable1"/>
    <pivotTable tabId="4" name="PivotTable2"/>
    <pivotTable tabId="5" name="PivotTable3"/>
    <pivotTable tabId="7" name="PivotTable6"/>
  </pivotTables>
  <data>
    <tabular pivotCacheId="15196683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2BADA3C-252B-47DA-B6CA-AC6C208F5F93}" cache="Slicer_category" caption="category" rowHeight="241300"/>
  <slicer name="city" xr10:uid="{ACE8FF36-31FF-4FEB-ACA6-B8B82CB2EBD2}" cache="Slicer_city" caption="city" rowHeight="241300"/>
  <slicer name="payment_method" xr10:uid="{EAEAB1B0-57E2-4AC1-9C26-F31F3B9A5DA0}" cache="Slicer_payment_method"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78D989-7E6D-4A4B-9257-62069DC8ECC0}" name="Table1" displayName="Table1" ref="A1:M16" totalsRowShown="0">
  <autoFilter ref="A1:M16" xr:uid="{2B78D989-7E6D-4A4B-9257-62069DC8ECC0}"/>
  <tableColumns count="13">
    <tableColumn id="1" xr3:uid="{C1786A95-8C84-47F2-A330-DC33FC3F41F6}" name="order_id"/>
    <tableColumn id="2" xr3:uid="{DD653813-2F80-4E2A-839C-E139A1965181}" name="customer_id"/>
    <tableColumn id="3" xr3:uid="{B6698E4F-34AB-4DE6-9BC3-F2E400E2DEC5}" name="customer_name"/>
    <tableColumn id="4" xr3:uid="{B07A1983-C03D-46CB-ADA0-B7326C200C58}" name="product_name"/>
    <tableColumn id="5" xr3:uid="{C552D6CA-6A83-4917-B91A-302E1D9031B4}" name="category"/>
    <tableColumn id="6" xr3:uid="{AC88A2DF-51C9-47AE-AD7E-5713FC1E599B}" name="price"/>
    <tableColumn id="7" xr3:uid="{A3BE1704-527B-415D-8EEC-D42C94B7A05C}" name="quantity"/>
    <tableColumn id="8" xr3:uid="{D22153DF-D581-4FC2-ABDA-FE8869EB0758}" name="discount_percent"/>
    <tableColumn id="9" xr3:uid="{56630B2A-EED5-45D6-BD8B-A07470C33F91}" name="order_date" dataDxfId="2"/>
    <tableColumn id="10" xr3:uid="{2AE66BCA-AB68-4332-BDB3-C5DF5D33A27B}" name="city"/>
    <tableColumn id="11" xr3:uid="{86586792-BB15-4676-A474-D459A285E540}" name="payment_method"/>
    <tableColumn id="12" xr3:uid="{7766B407-7665-4B85-9B2A-DDABA9EBFAE1}" name="total_revenue" dataDxfId="1">
      <calculatedColumnFormula>Table1[[#This Row],[price]]*Table1[[#This Row],[quantity]]</calculatedColumnFormula>
    </tableColumn>
    <tableColumn id="13" xr3:uid="{F8669A3C-C4A7-4EF2-AF94-486722621382}" name="discounted_price" dataDxfId="0">
      <calculatedColumnFormula>(F2-(F2*H2/100))*G2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982AF-0CC5-4855-823D-98BD6D2F7FFD}">
  <dimension ref="A3:B8"/>
  <sheetViews>
    <sheetView workbookViewId="0">
      <selection activeCell="A5" sqref="A5"/>
    </sheetView>
  </sheetViews>
  <sheetFormatPr defaultRowHeight="14.5" x14ac:dyDescent="0.35"/>
  <cols>
    <col min="1" max="1" width="12.36328125" bestFit="1" customWidth="1"/>
    <col min="2" max="2" width="19.08984375" bestFit="1" customWidth="1"/>
  </cols>
  <sheetData>
    <row r="3" spans="1:2" x14ac:dyDescent="0.35">
      <c r="A3" s="3" t="s">
        <v>55</v>
      </c>
      <c r="B3" t="s">
        <v>57</v>
      </c>
    </row>
    <row r="4" spans="1:2" x14ac:dyDescent="0.35">
      <c r="A4" s="4" t="s">
        <v>27</v>
      </c>
      <c r="B4" s="8">
        <v>105000</v>
      </c>
    </row>
    <row r="5" spans="1:2" x14ac:dyDescent="0.35">
      <c r="A5" s="4" t="s">
        <v>13</v>
      </c>
      <c r="B5" s="8">
        <v>490000</v>
      </c>
    </row>
    <row r="6" spans="1:2" x14ac:dyDescent="0.35">
      <c r="A6" s="4" t="s">
        <v>31</v>
      </c>
      <c r="B6" s="8">
        <v>1700</v>
      </c>
    </row>
    <row r="7" spans="1:2" x14ac:dyDescent="0.35">
      <c r="A7" s="4" t="s">
        <v>22</v>
      </c>
      <c r="B7" s="8">
        <v>2850</v>
      </c>
    </row>
    <row r="8" spans="1:2" x14ac:dyDescent="0.35">
      <c r="A8" s="4" t="s">
        <v>56</v>
      </c>
      <c r="B8" s="8">
        <v>599550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93CC-43B5-4B1A-B6EB-3AD914A3FF64}">
  <dimension ref="A3:F11"/>
  <sheetViews>
    <sheetView workbookViewId="0">
      <selection activeCell="J8" sqref="J8"/>
    </sheetView>
  </sheetViews>
  <sheetFormatPr defaultRowHeight="14.5" x14ac:dyDescent="0.35"/>
  <cols>
    <col min="1" max="1" width="12.36328125" bestFit="1" customWidth="1"/>
    <col min="2" max="2" width="19.08984375" bestFit="1" customWidth="1"/>
  </cols>
  <sheetData>
    <row r="3" spans="1:6" x14ac:dyDescent="0.35">
      <c r="A3" s="3" t="s">
        <v>55</v>
      </c>
      <c r="B3" t="s">
        <v>57</v>
      </c>
    </row>
    <row r="4" spans="1:6" x14ac:dyDescent="0.35">
      <c r="A4" s="4" t="s">
        <v>58</v>
      </c>
      <c r="B4" s="8">
        <v>91600</v>
      </c>
    </row>
    <row r="5" spans="1:6" x14ac:dyDescent="0.35">
      <c r="A5" s="4" t="s">
        <v>59</v>
      </c>
      <c r="B5" s="8">
        <v>235680</v>
      </c>
    </row>
    <row r="6" spans="1:6" x14ac:dyDescent="0.35">
      <c r="A6" s="4" t="s">
        <v>60</v>
      </c>
      <c r="B6" s="8">
        <v>1500</v>
      </c>
      <c r="F6" s="2"/>
    </row>
    <row r="7" spans="1:6" x14ac:dyDescent="0.35">
      <c r="A7" s="4" t="s">
        <v>61</v>
      </c>
      <c r="B7" s="8">
        <v>135000</v>
      </c>
    </row>
    <row r="8" spans="1:6" x14ac:dyDescent="0.35">
      <c r="A8" s="4" t="s">
        <v>62</v>
      </c>
      <c r="B8" s="8">
        <v>740</v>
      </c>
    </row>
    <row r="9" spans="1:6" x14ac:dyDescent="0.35">
      <c r="A9" s="4" t="s">
        <v>63</v>
      </c>
      <c r="B9" s="8">
        <v>135000</v>
      </c>
    </row>
    <row r="10" spans="1:6" x14ac:dyDescent="0.35">
      <c r="A10" s="4" t="s">
        <v>64</v>
      </c>
      <c r="B10" s="8">
        <v>30</v>
      </c>
    </row>
    <row r="11" spans="1:6" x14ac:dyDescent="0.35">
      <c r="A11" s="4" t="s">
        <v>56</v>
      </c>
      <c r="B11" s="8">
        <v>599550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B7347-4D4E-48C1-86D6-688CBC541FF7}">
  <dimension ref="A3:B14"/>
  <sheetViews>
    <sheetView workbookViewId="0">
      <selection activeCell="B8" sqref="B8"/>
    </sheetView>
  </sheetViews>
  <sheetFormatPr defaultRowHeight="14.5" x14ac:dyDescent="0.35"/>
  <cols>
    <col min="1" max="1" width="12.36328125" bestFit="1" customWidth="1"/>
    <col min="2" max="2" width="19.08984375" bestFit="1" customWidth="1"/>
  </cols>
  <sheetData>
    <row r="3" spans="1:2" x14ac:dyDescent="0.35">
      <c r="A3" s="3" t="s">
        <v>55</v>
      </c>
      <c r="B3" t="s">
        <v>57</v>
      </c>
    </row>
    <row r="4" spans="1:2" x14ac:dyDescent="0.35">
      <c r="A4" s="4" t="s">
        <v>23</v>
      </c>
      <c r="B4" s="8">
        <v>30</v>
      </c>
    </row>
    <row r="5" spans="1:2" x14ac:dyDescent="0.35">
      <c r="A5" s="4" t="s">
        <v>41</v>
      </c>
      <c r="B5" s="8">
        <v>166800</v>
      </c>
    </row>
    <row r="6" spans="1:2" x14ac:dyDescent="0.35">
      <c r="A6" s="4" t="s">
        <v>44</v>
      </c>
      <c r="B6" s="8">
        <v>225000</v>
      </c>
    </row>
    <row r="7" spans="1:2" x14ac:dyDescent="0.35">
      <c r="A7" s="4" t="s">
        <v>32</v>
      </c>
      <c r="B7" s="8">
        <v>1000</v>
      </c>
    </row>
    <row r="8" spans="1:2" x14ac:dyDescent="0.35">
      <c r="A8" s="4" t="s">
        <v>18</v>
      </c>
      <c r="B8" s="8">
        <v>10000</v>
      </c>
    </row>
    <row r="9" spans="1:2" x14ac:dyDescent="0.35">
      <c r="A9" s="4" t="s">
        <v>14</v>
      </c>
      <c r="B9" s="8">
        <v>90980</v>
      </c>
    </row>
    <row r="10" spans="1:2" x14ac:dyDescent="0.35">
      <c r="A10" s="4" t="s">
        <v>35</v>
      </c>
      <c r="B10" s="8">
        <v>100000</v>
      </c>
    </row>
    <row r="11" spans="1:2" x14ac:dyDescent="0.35">
      <c r="A11" s="4" t="s">
        <v>47</v>
      </c>
      <c r="B11" s="8">
        <v>200</v>
      </c>
    </row>
    <row r="12" spans="1:2" x14ac:dyDescent="0.35">
      <c r="A12" s="4" t="s">
        <v>28</v>
      </c>
      <c r="B12" s="8">
        <v>5000</v>
      </c>
    </row>
    <row r="13" spans="1:2" x14ac:dyDescent="0.35">
      <c r="A13" s="4" t="s">
        <v>38</v>
      </c>
      <c r="B13" s="8">
        <v>540</v>
      </c>
    </row>
    <row r="14" spans="1:2" x14ac:dyDescent="0.35">
      <c r="A14" s="4" t="s">
        <v>56</v>
      </c>
      <c r="B14" s="8">
        <v>599550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1767A-FC24-474E-88DE-153136A0722D}">
  <dimension ref="A3:D7"/>
  <sheetViews>
    <sheetView zoomScaleNormal="100" workbookViewId="0">
      <selection activeCell="K8" sqref="K8"/>
    </sheetView>
  </sheetViews>
  <sheetFormatPr defaultRowHeight="14.5" x14ac:dyDescent="0.35"/>
  <cols>
    <col min="1" max="1" width="12.36328125" bestFit="1" customWidth="1"/>
    <col min="2" max="2" width="15.81640625" bestFit="1" customWidth="1"/>
  </cols>
  <sheetData>
    <row r="3" spans="1:4" x14ac:dyDescent="0.35">
      <c r="A3" s="3" t="s">
        <v>55</v>
      </c>
      <c r="B3" t="s">
        <v>65</v>
      </c>
    </row>
    <row r="4" spans="1:4" x14ac:dyDescent="0.35">
      <c r="A4" s="4" t="s">
        <v>15</v>
      </c>
      <c r="B4" s="8">
        <v>6</v>
      </c>
    </row>
    <row r="5" spans="1:4" x14ac:dyDescent="0.35">
      <c r="A5" s="4" t="s">
        <v>24</v>
      </c>
      <c r="B5" s="8">
        <v>5</v>
      </c>
    </row>
    <row r="6" spans="1:4" x14ac:dyDescent="0.35">
      <c r="A6" s="4" t="s">
        <v>19</v>
      </c>
      <c r="B6" s="8">
        <v>4</v>
      </c>
    </row>
    <row r="7" spans="1:4" x14ac:dyDescent="0.35">
      <c r="A7" s="4" t="s">
        <v>56</v>
      </c>
      <c r="B7" s="8">
        <v>15</v>
      </c>
      <c r="D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69E2-CE4E-4352-AF7B-C8AECA4633EE}">
  <dimension ref="A3:F15"/>
  <sheetViews>
    <sheetView topLeftCell="A3" workbookViewId="0">
      <selection activeCell="B7" sqref="B7"/>
    </sheetView>
  </sheetViews>
  <sheetFormatPr defaultRowHeight="14.5" x14ac:dyDescent="0.35"/>
  <cols>
    <col min="1" max="1" width="12.36328125" bestFit="1" customWidth="1"/>
    <col min="2" max="2" width="14.26953125" bestFit="1" customWidth="1"/>
  </cols>
  <sheetData>
    <row r="3" spans="1:6" x14ac:dyDescent="0.35">
      <c r="A3" s="3" t="s">
        <v>55</v>
      </c>
      <c r="B3" t="s">
        <v>66</v>
      </c>
    </row>
    <row r="4" spans="1:6" x14ac:dyDescent="0.35">
      <c r="A4" s="4" t="s">
        <v>49</v>
      </c>
      <c r="B4" s="8">
        <v>4</v>
      </c>
    </row>
    <row r="5" spans="1:6" x14ac:dyDescent="0.35">
      <c r="A5" s="4" t="s">
        <v>37</v>
      </c>
      <c r="B5" s="8">
        <v>3</v>
      </c>
    </row>
    <row r="6" spans="1:6" x14ac:dyDescent="0.35">
      <c r="A6" s="4" t="s">
        <v>40</v>
      </c>
      <c r="B6" s="8">
        <v>3</v>
      </c>
    </row>
    <row r="7" spans="1:6" x14ac:dyDescent="0.35">
      <c r="A7" s="4" t="s">
        <v>43</v>
      </c>
      <c r="B7" s="8">
        <v>3</v>
      </c>
    </row>
    <row r="8" spans="1:6" x14ac:dyDescent="0.35">
      <c r="A8" s="4" t="s">
        <v>34</v>
      </c>
      <c r="B8" s="8">
        <v>2</v>
      </c>
    </row>
    <row r="9" spans="1:6" x14ac:dyDescent="0.35">
      <c r="A9" s="4" t="s">
        <v>48</v>
      </c>
      <c r="B9" s="8">
        <v>2</v>
      </c>
    </row>
    <row r="10" spans="1:6" x14ac:dyDescent="0.35">
      <c r="A10" s="4" t="s">
        <v>52</v>
      </c>
      <c r="B10" s="8">
        <v>2</v>
      </c>
    </row>
    <row r="11" spans="1:6" x14ac:dyDescent="0.35">
      <c r="A11" s="4" t="s">
        <v>56</v>
      </c>
      <c r="B11" s="8">
        <v>19</v>
      </c>
    </row>
    <row r="14" spans="1:6" x14ac:dyDescent="0.35">
      <c r="D14" s="2"/>
    </row>
    <row r="15" spans="1:6" x14ac:dyDescent="0.35">
      <c r="F1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322B-0EAD-4D32-BFFA-7D45C91258F9}">
  <dimension ref="A1:P16"/>
  <sheetViews>
    <sheetView topLeftCell="F1" workbookViewId="0">
      <selection activeCell="R5" sqref="R5"/>
    </sheetView>
  </sheetViews>
  <sheetFormatPr defaultRowHeight="14.5" x14ac:dyDescent="0.35"/>
  <cols>
    <col min="1" max="1" width="10" customWidth="1"/>
    <col min="2" max="2" width="13.26953125" customWidth="1"/>
    <col min="3" max="3" width="16.453125" customWidth="1"/>
    <col min="4" max="4" width="15.1796875" customWidth="1"/>
    <col min="5" max="5" width="10" customWidth="1"/>
    <col min="6" max="6" width="6.90625" customWidth="1"/>
    <col min="7" max="7" width="9.90625" customWidth="1"/>
    <col min="8" max="8" width="17.453125" customWidth="1"/>
    <col min="9" max="9" width="12.26953125" customWidth="1"/>
    <col min="10" max="10" width="11" bestFit="1" customWidth="1"/>
    <col min="11" max="11" width="17.90625" customWidth="1"/>
    <col min="12" max="12" width="14.90625" bestFit="1" customWidth="1"/>
    <col min="13" max="13" width="19.1796875" customWidth="1"/>
  </cols>
  <sheetData>
    <row r="1" spans="1:16" x14ac:dyDescent="0.35">
      <c r="A1" t="s">
        <v>0</v>
      </c>
      <c r="B1" t="s">
        <v>1</v>
      </c>
      <c r="C1" t="s">
        <v>2</v>
      </c>
      <c r="D1" t="s">
        <v>3</v>
      </c>
      <c r="E1" t="s">
        <v>4</v>
      </c>
      <c r="F1" t="s">
        <v>5</v>
      </c>
      <c r="G1" t="s">
        <v>6</v>
      </c>
      <c r="H1" t="s">
        <v>7</v>
      </c>
      <c r="I1" t="s">
        <v>8</v>
      </c>
      <c r="J1" t="s">
        <v>9</v>
      </c>
      <c r="K1" t="s">
        <v>10</v>
      </c>
      <c r="L1" t="s">
        <v>53</v>
      </c>
      <c r="M1" t="s">
        <v>54</v>
      </c>
    </row>
    <row r="2" spans="1:16" x14ac:dyDescent="0.35">
      <c r="A2">
        <v>1</v>
      </c>
      <c r="B2">
        <v>10</v>
      </c>
      <c r="C2" t="s">
        <v>11</v>
      </c>
      <c r="D2" t="s">
        <v>12</v>
      </c>
      <c r="E2" t="s">
        <v>13</v>
      </c>
      <c r="F2">
        <v>90000</v>
      </c>
      <c r="G2">
        <v>1</v>
      </c>
      <c r="H2">
        <v>10</v>
      </c>
      <c r="I2" s="1">
        <v>46027</v>
      </c>
      <c r="J2" t="s">
        <v>14</v>
      </c>
      <c r="K2" t="s">
        <v>15</v>
      </c>
      <c r="L2">
        <f>Table1[[#This Row],[price]]*Table1[[#This Row],[quantity]]</f>
        <v>90000</v>
      </c>
      <c r="M2">
        <f t="shared" ref="M2:M16" si="0">(F2-(F2*H2/100))*G2</f>
        <v>81000</v>
      </c>
    </row>
    <row r="3" spans="1:16" x14ac:dyDescent="0.35">
      <c r="A3">
        <v>2</v>
      </c>
      <c r="B3">
        <v>9</v>
      </c>
      <c r="C3" t="s">
        <v>16</v>
      </c>
      <c r="D3" t="s">
        <v>17</v>
      </c>
      <c r="E3" t="s">
        <v>13</v>
      </c>
      <c r="F3">
        <v>10000</v>
      </c>
      <c r="G3">
        <v>1</v>
      </c>
      <c r="H3">
        <v>15</v>
      </c>
      <c r="I3" s="1">
        <v>46068</v>
      </c>
      <c r="J3" t="s">
        <v>18</v>
      </c>
      <c r="K3" t="s">
        <v>19</v>
      </c>
      <c r="L3">
        <f>Table1[[#This Row],[price]]*Table1[[#This Row],[quantity]]</f>
        <v>10000</v>
      </c>
      <c r="M3">
        <f t="shared" si="0"/>
        <v>8500</v>
      </c>
    </row>
    <row r="4" spans="1:16" x14ac:dyDescent="0.35">
      <c r="A4">
        <v>3</v>
      </c>
      <c r="B4">
        <v>8</v>
      </c>
      <c r="C4" t="s">
        <v>20</v>
      </c>
      <c r="D4" t="s">
        <v>21</v>
      </c>
      <c r="E4" t="s">
        <v>22</v>
      </c>
      <c r="F4">
        <v>30</v>
      </c>
      <c r="G4">
        <v>1</v>
      </c>
      <c r="H4">
        <v>0</v>
      </c>
      <c r="I4" s="1">
        <v>46254</v>
      </c>
      <c r="J4" t="s">
        <v>23</v>
      </c>
      <c r="K4" t="s">
        <v>24</v>
      </c>
      <c r="L4">
        <f>Table1[[#This Row],[price]]*Table1[[#This Row],[quantity]]</f>
        <v>30</v>
      </c>
      <c r="M4">
        <f t="shared" si="0"/>
        <v>30</v>
      </c>
    </row>
    <row r="5" spans="1:16" x14ac:dyDescent="0.35">
      <c r="A5">
        <v>4</v>
      </c>
      <c r="B5">
        <v>7</v>
      </c>
      <c r="C5" t="s">
        <v>25</v>
      </c>
      <c r="D5" t="s">
        <v>26</v>
      </c>
      <c r="E5" t="s">
        <v>27</v>
      </c>
      <c r="F5">
        <v>5000</v>
      </c>
      <c r="G5">
        <v>1</v>
      </c>
      <c r="H5">
        <v>5</v>
      </c>
      <c r="I5" s="1">
        <v>46122</v>
      </c>
      <c r="J5" t="s">
        <v>28</v>
      </c>
      <c r="K5" t="s">
        <v>15</v>
      </c>
      <c r="L5">
        <f>Table1[[#This Row],[price]]*Table1[[#This Row],[quantity]]</f>
        <v>5000</v>
      </c>
      <c r="M5">
        <f t="shared" si="0"/>
        <v>4750</v>
      </c>
    </row>
    <row r="6" spans="1:16" x14ac:dyDescent="0.35">
      <c r="A6">
        <v>5</v>
      </c>
      <c r="B6">
        <v>6</v>
      </c>
      <c r="C6" t="s">
        <v>29</v>
      </c>
      <c r="D6" t="s">
        <v>30</v>
      </c>
      <c r="E6" t="s">
        <v>31</v>
      </c>
      <c r="F6">
        <v>1000</v>
      </c>
      <c r="G6">
        <v>1</v>
      </c>
      <c r="H6">
        <v>0</v>
      </c>
      <c r="I6" s="1">
        <v>46083</v>
      </c>
      <c r="J6" t="s">
        <v>32</v>
      </c>
      <c r="K6" t="s">
        <v>19</v>
      </c>
      <c r="L6">
        <f>Table1[[#This Row],[price]]*Table1[[#This Row],[quantity]]</f>
        <v>1000</v>
      </c>
      <c r="M6">
        <f t="shared" si="0"/>
        <v>1000</v>
      </c>
    </row>
    <row r="7" spans="1:16" x14ac:dyDescent="0.35">
      <c r="A7">
        <v>10</v>
      </c>
      <c r="B7">
        <v>15</v>
      </c>
      <c r="C7" t="s">
        <v>33</v>
      </c>
      <c r="D7" t="s">
        <v>34</v>
      </c>
      <c r="E7" t="s">
        <v>27</v>
      </c>
      <c r="F7">
        <v>50000</v>
      </c>
      <c r="G7">
        <v>2</v>
      </c>
      <c r="H7">
        <v>25</v>
      </c>
      <c r="I7" s="1">
        <v>46125</v>
      </c>
      <c r="J7" t="s">
        <v>35</v>
      </c>
      <c r="K7" t="s">
        <v>15</v>
      </c>
      <c r="L7">
        <f>Table1[[#This Row],[price]]*Table1[[#This Row],[quantity]]</f>
        <v>100000</v>
      </c>
      <c r="M7">
        <f t="shared" si="0"/>
        <v>75000</v>
      </c>
      <c r="P7">
        <f>SUM(L2:L16)</f>
        <v>599550</v>
      </c>
    </row>
    <row r="8" spans="1:16" x14ac:dyDescent="0.35">
      <c r="A8">
        <v>11</v>
      </c>
      <c r="B8">
        <v>13</v>
      </c>
      <c r="C8" t="s">
        <v>36</v>
      </c>
      <c r="D8" t="s">
        <v>37</v>
      </c>
      <c r="E8" t="s">
        <v>22</v>
      </c>
      <c r="F8">
        <v>180</v>
      </c>
      <c r="G8">
        <v>3</v>
      </c>
      <c r="H8">
        <v>0</v>
      </c>
      <c r="I8" s="1">
        <v>46154</v>
      </c>
      <c r="J8" t="s">
        <v>38</v>
      </c>
      <c r="K8" t="s">
        <v>24</v>
      </c>
      <c r="L8">
        <f>Table1[[#This Row],[price]]*Table1[[#This Row],[quantity]]</f>
        <v>540</v>
      </c>
      <c r="M8">
        <f t="shared" si="0"/>
        <v>540</v>
      </c>
    </row>
    <row r="9" spans="1:16" x14ac:dyDescent="0.35">
      <c r="A9">
        <v>12</v>
      </c>
      <c r="B9">
        <v>14</v>
      </c>
      <c r="C9" t="s">
        <v>39</v>
      </c>
      <c r="D9" t="s">
        <v>40</v>
      </c>
      <c r="E9" t="s">
        <v>13</v>
      </c>
      <c r="F9">
        <v>45000</v>
      </c>
      <c r="G9">
        <v>3</v>
      </c>
      <c r="H9">
        <v>15</v>
      </c>
      <c r="I9" s="1">
        <v>46190</v>
      </c>
      <c r="J9" t="s">
        <v>41</v>
      </c>
      <c r="K9" t="s">
        <v>15</v>
      </c>
      <c r="L9">
        <f>Table1[[#This Row],[price]]*Table1[[#This Row],[quantity]]</f>
        <v>135000</v>
      </c>
      <c r="M9">
        <f t="shared" si="0"/>
        <v>114750</v>
      </c>
      <c r="P9">
        <f>COUNT(A2:A16)</f>
        <v>15</v>
      </c>
    </row>
    <row r="10" spans="1:16" x14ac:dyDescent="0.35">
      <c r="A10">
        <v>13</v>
      </c>
      <c r="B10">
        <v>11</v>
      </c>
      <c r="C10" t="s">
        <v>42</v>
      </c>
      <c r="D10" t="s">
        <v>43</v>
      </c>
      <c r="E10" t="s">
        <v>13</v>
      </c>
      <c r="F10">
        <v>75000</v>
      </c>
      <c r="G10">
        <v>3</v>
      </c>
      <c r="H10">
        <v>20</v>
      </c>
      <c r="I10" s="1">
        <v>46064</v>
      </c>
      <c r="J10" t="s">
        <v>44</v>
      </c>
      <c r="K10" t="s">
        <v>15</v>
      </c>
      <c r="L10">
        <f>Table1[[#This Row],[price]]*Table1[[#This Row],[quantity]]</f>
        <v>225000</v>
      </c>
      <c r="M10">
        <f t="shared" si="0"/>
        <v>180000</v>
      </c>
    </row>
    <row r="11" spans="1:16" x14ac:dyDescent="0.35">
      <c r="A11">
        <v>15</v>
      </c>
      <c r="B11">
        <v>12</v>
      </c>
      <c r="C11" t="s">
        <v>45</v>
      </c>
      <c r="D11" t="s">
        <v>46</v>
      </c>
      <c r="E11" t="s">
        <v>22</v>
      </c>
      <c r="F11">
        <v>200</v>
      </c>
      <c r="G11">
        <v>1</v>
      </c>
      <c r="H11">
        <v>8</v>
      </c>
      <c r="I11" s="1">
        <v>46160</v>
      </c>
      <c r="J11" t="s">
        <v>47</v>
      </c>
      <c r="K11" t="s">
        <v>24</v>
      </c>
      <c r="L11">
        <f>Table1[[#This Row],[price]]*Table1[[#This Row],[quantity]]</f>
        <v>200</v>
      </c>
      <c r="M11">
        <f t="shared" si="0"/>
        <v>184</v>
      </c>
      <c r="P11">
        <f>SUM(G2:G16)</f>
        <v>27</v>
      </c>
    </row>
    <row r="12" spans="1:16" x14ac:dyDescent="0.35">
      <c r="A12">
        <v>16</v>
      </c>
      <c r="B12">
        <v>14</v>
      </c>
      <c r="C12" t="s">
        <v>39</v>
      </c>
      <c r="D12" t="s">
        <v>48</v>
      </c>
      <c r="E12" t="s">
        <v>31</v>
      </c>
      <c r="F12">
        <v>100</v>
      </c>
      <c r="G12">
        <v>2</v>
      </c>
      <c r="H12">
        <v>0</v>
      </c>
      <c r="I12" s="1">
        <v>46068</v>
      </c>
      <c r="J12" t="s">
        <v>41</v>
      </c>
      <c r="K12" t="s">
        <v>19</v>
      </c>
      <c r="L12">
        <f>Table1[[#This Row],[price]]*Table1[[#This Row],[quantity]]</f>
        <v>200</v>
      </c>
      <c r="M12">
        <f t="shared" si="0"/>
        <v>200</v>
      </c>
    </row>
    <row r="13" spans="1:16" x14ac:dyDescent="0.35">
      <c r="A13">
        <v>17</v>
      </c>
      <c r="B13">
        <v>14</v>
      </c>
      <c r="C13" t="s">
        <v>39</v>
      </c>
      <c r="D13" t="s">
        <v>49</v>
      </c>
      <c r="E13" t="s">
        <v>22</v>
      </c>
      <c r="F13">
        <v>400</v>
      </c>
      <c r="G13">
        <v>4</v>
      </c>
      <c r="H13">
        <v>5</v>
      </c>
      <c r="I13" s="1">
        <v>46040</v>
      </c>
      <c r="J13" t="s">
        <v>41</v>
      </c>
      <c r="K13" t="s">
        <v>24</v>
      </c>
      <c r="L13">
        <f>Table1[[#This Row],[price]]*Table1[[#This Row],[quantity]]</f>
        <v>1600</v>
      </c>
      <c r="M13">
        <f t="shared" si="0"/>
        <v>1520</v>
      </c>
      <c r="P13">
        <f>SUM(L2:L16)/COUNT(A2:A16)</f>
        <v>39970</v>
      </c>
    </row>
    <row r="14" spans="1:16" x14ac:dyDescent="0.35">
      <c r="A14">
        <v>18</v>
      </c>
      <c r="B14">
        <v>14</v>
      </c>
      <c r="C14" t="s">
        <v>39</v>
      </c>
      <c r="D14" t="s">
        <v>50</v>
      </c>
      <c r="E14" t="s">
        <v>13</v>
      </c>
      <c r="F14">
        <v>30000</v>
      </c>
      <c r="G14">
        <v>1</v>
      </c>
      <c r="H14">
        <v>15</v>
      </c>
      <c r="I14" s="1">
        <v>46131</v>
      </c>
      <c r="J14" t="s">
        <v>41</v>
      </c>
      <c r="K14" t="s">
        <v>15</v>
      </c>
      <c r="L14">
        <f>Table1[[#This Row],[price]]*Table1[[#This Row],[quantity]]</f>
        <v>30000</v>
      </c>
      <c r="M14">
        <f t="shared" si="0"/>
        <v>25500</v>
      </c>
    </row>
    <row r="15" spans="1:16" x14ac:dyDescent="0.35">
      <c r="A15">
        <v>20</v>
      </c>
      <c r="B15">
        <v>10</v>
      </c>
      <c r="C15" t="s">
        <v>11</v>
      </c>
      <c r="D15" t="s">
        <v>51</v>
      </c>
      <c r="E15" t="s">
        <v>22</v>
      </c>
      <c r="F15">
        <v>480</v>
      </c>
      <c r="G15">
        <v>1</v>
      </c>
      <c r="H15">
        <v>0</v>
      </c>
      <c r="I15" s="1">
        <v>46078</v>
      </c>
      <c r="J15" t="s">
        <v>14</v>
      </c>
      <c r="K15" t="s">
        <v>24</v>
      </c>
      <c r="L15">
        <f>Table1[[#This Row],[price]]*Table1[[#This Row],[quantity]]</f>
        <v>480</v>
      </c>
      <c r="M15">
        <f t="shared" si="0"/>
        <v>480</v>
      </c>
    </row>
    <row r="16" spans="1:16" x14ac:dyDescent="0.35">
      <c r="A16">
        <v>23</v>
      </c>
      <c r="B16">
        <v>10</v>
      </c>
      <c r="C16" t="s">
        <v>11</v>
      </c>
      <c r="D16" t="s">
        <v>52</v>
      </c>
      <c r="E16" t="s">
        <v>31</v>
      </c>
      <c r="F16">
        <v>250</v>
      </c>
      <c r="G16">
        <v>2</v>
      </c>
      <c r="H16">
        <v>5</v>
      </c>
      <c r="I16" s="1">
        <v>46090</v>
      </c>
      <c r="J16" t="s">
        <v>14</v>
      </c>
      <c r="K16" t="s">
        <v>19</v>
      </c>
      <c r="L16">
        <f>Table1[[#This Row],[price]]*Table1[[#This Row],[quantity]]</f>
        <v>500</v>
      </c>
      <c r="M16">
        <f t="shared" si="0"/>
        <v>475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A3F3-7774-4A38-A103-573D48F514BC}">
  <dimension ref="A2:L6"/>
  <sheetViews>
    <sheetView showGridLines="0" tabSelected="1" topLeftCell="A25" zoomScale="60" zoomScaleNormal="30" workbookViewId="0">
      <selection activeCell="O45" sqref="O45"/>
    </sheetView>
  </sheetViews>
  <sheetFormatPr defaultRowHeight="14.5" x14ac:dyDescent="0.35"/>
  <cols>
    <col min="1" max="23" width="15.6328125" customWidth="1"/>
  </cols>
  <sheetData>
    <row r="2" spans="1:12" ht="14.5" customHeight="1" x14ac:dyDescent="0.35">
      <c r="A2" s="5" t="s">
        <v>67</v>
      </c>
      <c r="B2" s="5"/>
      <c r="C2" s="5"/>
      <c r="D2" s="5"/>
      <c r="E2" s="5"/>
      <c r="F2" s="5"/>
      <c r="G2" s="5"/>
      <c r="H2" s="5"/>
      <c r="I2" s="5"/>
      <c r="J2" s="5"/>
      <c r="K2" s="5"/>
      <c r="L2" s="5"/>
    </row>
    <row r="3" spans="1:12" ht="14.5" customHeight="1" x14ac:dyDescent="0.35">
      <c r="A3" s="6"/>
      <c r="B3" s="6"/>
      <c r="C3" s="6"/>
      <c r="D3" s="6"/>
      <c r="E3" s="6"/>
      <c r="F3" s="6"/>
      <c r="G3" s="6"/>
      <c r="H3" s="6"/>
      <c r="I3" s="6"/>
      <c r="J3" s="6"/>
      <c r="K3" s="6"/>
      <c r="L3" s="6"/>
    </row>
    <row r="4" spans="1:12" x14ac:dyDescent="0.35">
      <c r="A4" s="7" t="s">
        <v>68</v>
      </c>
      <c r="B4" s="7"/>
      <c r="C4" s="7"/>
      <c r="D4" s="7" t="s">
        <v>69</v>
      </c>
      <c r="E4" s="7"/>
      <c r="F4" s="7"/>
      <c r="G4" s="7" t="s">
        <v>70</v>
      </c>
      <c r="H4" s="7"/>
      <c r="I4" s="7"/>
      <c r="J4" s="7" t="s">
        <v>71</v>
      </c>
      <c r="K4" s="7"/>
      <c r="L4" s="7"/>
    </row>
    <row r="5" spans="1:12" x14ac:dyDescent="0.35">
      <c r="A5" s="7"/>
      <c r="B5" s="7"/>
      <c r="C5" s="7"/>
      <c r="D5" s="7"/>
      <c r="E5" s="7"/>
      <c r="F5" s="7"/>
      <c r="G5" s="7"/>
      <c r="H5" s="7"/>
      <c r="I5" s="7"/>
      <c r="J5" s="7"/>
      <c r="K5" s="7"/>
      <c r="L5" s="7"/>
    </row>
    <row r="6" spans="1:12" x14ac:dyDescent="0.35">
      <c r="A6" s="7"/>
      <c r="B6" s="7"/>
      <c r="C6" s="7"/>
      <c r="D6" s="7"/>
      <c r="E6" s="7"/>
      <c r="F6" s="7"/>
      <c r="G6" s="7"/>
      <c r="H6" s="7"/>
      <c r="I6" s="7"/>
      <c r="J6" s="7"/>
      <c r="K6" s="7"/>
      <c r="L6" s="7"/>
    </row>
  </sheetData>
  <mergeCells count="5">
    <mergeCell ref="A2:L3"/>
    <mergeCell ref="A4:C6"/>
    <mergeCell ref="D4:F6"/>
    <mergeCell ref="G4:I6"/>
    <mergeCell ref="J4: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Pivot_Analysis</vt:lpstr>
      <vt:lpstr>Sheet3</vt:lpstr>
      <vt:lpstr>Sheet4</vt:lpstr>
      <vt:lpstr>Sheet5</vt:lpstr>
      <vt:lpstr>Sheet6</vt:lpstr>
      <vt:lpstr>ecommerce_sales_analysis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Unmil Khot</cp:lastModifiedBy>
  <dcterms:created xsi:type="dcterms:W3CDTF">2026-08-27T14:30:58Z</dcterms:created>
  <dcterms:modified xsi:type="dcterms:W3CDTF">2026-08-27T14:56:29Z</dcterms:modified>
</cp:coreProperties>
</file>